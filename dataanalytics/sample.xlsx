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D0CB277-C64C-46D9-863A-925683911735}" xr6:coauthVersionLast="47" xr6:coauthVersionMax="47" xr10:uidLastSave="{00000000-0000-0000-0000-000000000000}"/>
  <bookViews>
    <workbookView xWindow="-108" yWindow="-108" windowWidth="23256" windowHeight="12456" xr2:uid="{A24964C9-AC6D-4B78-8B6B-8014907A5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H32" i="1"/>
  <c r="H31" i="1"/>
  <c r="H30" i="1"/>
  <c r="F30" i="1"/>
  <c r="F13" i="1"/>
  <c r="H13" i="1"/>
  <c r="J13" i="1"/>
  <c r="F14" i="1"/>
  <c r="H14" i="1"/>
  <c r="J14" i="1"/>
  <c r="F15" i="1"/>
  <c r="H15" i="1"/>
  <c r="J15" i="1"/>
  <c r="F16" i="1"/>
  <c r="H16" i="1"/>
  <c r="J16" i="1"/>
  <c r="F17" i="1"/>
  <c r="H17" i="1"/>
  <c r="J17" i="1"/>
  <c r="F18" i="1"/>
  <c r="H18" i="1"/>
  <c r="J18" i="1"/>
  <c r="F19" i="1"/>
  <c r="H19" i="1"/>
  <c r="J19" i="1"/>
  <c r="F20" i="1"/>
  <c r="H20" i="1"/>
  <c r="J20" i="1"/>
  <c r="F21" i="1"/>
  <c r="H21" i="1"/>
  <c r="J21" i="1"/>
  <c r="F22" i="1"/>
  <c r="H22" i="1"/>
  <c r="J22" i="1"/>
  <c r="F23" i="1"/>
  <c r="H23" i="1"/>
  <c r="J23" i="1"/>
  <c r="F24" i="1"/>
  <c r="H24" i="1"/>
  <c r="J24" i="1"/>
  <c r="F25" i="1"/>
  <c r="H25" i="1"/>
  <c r="J25" i="1"/>
  <c r="F26" i="1"/>
  <c r="H26" i="1"/>
  <c r="J26" i="1"/>
  <c r="F27" i="1"/>
  <c r="H27" i="1"/>
  <c r="J27" i="1"/>
  <c r="F28" i="1"/>
  <c r="H28" i="1"/>
  <c r="J28" i="1"/>
  <c r="F29" i="1"/>
  <c r="H29" i="1"/>
  <c r="J29" i="1"/>
  <c r="J12" i="1"/>
  <c r="H12" i="1"/>
  <c r="F12" i="1"/>
  <c r="J11" i="1"/>
  <c r="H11" i="1"/>
  <c r="F11" i="1"/>
  <c r="J10" i="1"/>
  <c r="H10" i="1"/>
  <c r="F10" i="1"/>
  <c r="J9" i="1"/>
  <c r="H9" i="1"/>
  <c r="F9" i="1"/>
  <c r="J8" i="1"/>
  <c r="H8" i="1"/>
  <c r="F8" i="1"/>
  <c r="J7" i="1"/>
  <c r="H7" i="1"/>
  <c r="F7" i="1"/>
  <c r="J6" i="1"/>
  <c r="H6" i="1"/>
  <c r="F6" i="1"/>
  <c r="J5" i="1"/>
  <c r="H5" i="1"/>
  <c r="F5" i="1"/>
  <c r="J4" i="1"/>
  <c r="H4" i="1"/>
  <c r="F4" i="1"/>
  <c r="J31" i="1" l="1"/>
  <c r="J32" i="1" s="1"/>
  <c r="F31" i="1"/>
  <c r="F32" i="1" l="1"/>
</calcChain>
</file>

<file path=xl/sharedStrings.xml><?xml version="1.0" encoding="utf-8"?>
<sst xmlns="http://schemas.openxmlformats.org/spreadsheetml/2006/main" count="69" uniqueCount="45">
  <si>
    <t>cfk"lt{stf{sf] ljj/0f</t>
  </si>
  <si>
    <t>G.T.R.M. TRADERS</t>
  </si>
  <si>
    <t>NOVA TRADERS</t>
  </si>
  <si>
    <t>KOSISH &amp; SUCCESS ENTERPRISES</t>
  </si>
  <si>
    <t>qm=;=</t>
  </si>
  <si>
    <t xml:space="preserve">;fdfgsf] ljj/0f </t>
  </si>
  <si>
    <t>OsfO</t>
  </si>
  <si>
    <t>dfu ePsf] ;+Vof</t>
  </si>
  <si>
    <t>/sd</t>
  </si>
  <si>
    <t>hDdf ?= d'=c=s/ ;lxt</t>
  </si>
  <si>
    <t>k|lt OsfO d'No ?</t>
  </si>
  <si>
    <t>d'=c=s/</t>
  </si>
  <si>
    <t>hDdf ?=</t>
  </si>
  <si>
    <t>glass jug</t>
  </si>
  <si>
    <t>piece</t>
  </si>
  <si>
    <t>dozen</t>
  </si>
  <si>
    <t>fork and spoon</t>
  </si>
  <si>
    <t>big door mat</t>
  </si>
  <si>
    <t>fork and spoon stand</t>
  </si>
  <si>
    <t>wires (2.5 mm)</t>
  </si>
  <si>
    <t>meter</t>
  </si>
  <si>
    <t>power skiddomter</t>
  </si>
  <si>
    <t>P.V.C tape</t>
  </si>
  <si>
    <t>glass cup(big)</t>
  </si>
  <si>
    <t>three pin plug top</t>
  </si>
  <si>
    <t>basin faucet</t>
  </si>
  <si>
    <t>commode set</t>
  </si>
  <si>
    <t>shower head</t>
  </si>
  <si>
    <t>Nepali flag (5 feet)</t>
  </si>
  <si>
    <t>flag stand (8 feet)</t>
  </si>
  <si>
    <t>concave mirror</t>
  </si>
  <si>
    <t>set</t>
  </si>
  <si>
    <t>national flag (5 feet)</t>
  </si>
  <si>
    <t>nylon wire</t>
  </si>
  <si>
    <t>glycerin powder (25 kg bag)</t>
  </si>
  <si>
    <t>bag</t>
  </si>
  <si>
    <t>casting soda (50 kg bag)</t>
  </si>
  <si>
    <t>fitkiri (50 kg bag)</t>
  </si>
  <si>
    <t>washing kaplin</t>
  </si>
  <si>
    <t>white color</t>
  </si>
  <si>
    <t>kg</t>
  </si>
  <si>
    <t>4 inch brush</t>
  </si>
  <si>
    <t>three inch brush</t>
  </si>
  <si>
    <t>geru color</t>
  </si>
  <si>
    <t>elbow (1.5 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</si>
</sst>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Preeti"/>
    </font>
    <font>
      <b/>
      <sz val="16"/>
      <color theme="1"/>
      <name val="Preeti"/>
    </font>
    <font>
      <b/>
      <sz val="12"/>
      <color theme="1"/>
      <name val="Times New Roman"/>
      <family val="1"/>
    </font>
    <font>
      <sz val="12"/>
      <color theme="1"/>
      <name val="Fontasy Himali"/>
      <family val="5"/>
    </font>
    <font>
      <b/>
      <sz val="12"/>
      <color theme="1"/>
      <name val="Fontasy Himali"/>
      <family val="5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43" fontId="6" fillId="0" borderId="6" xfId="1" applyFont="1" applyBorder="1"/>
    <xf numFmtId="0" fontId="2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/>
    <xf numFmtId="0" fontId="7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0210-F54D-4442-8661-758A6F0A13C7}">
  <dimension ref="A1:J33"/>
  <sheetViews>
    <sheetView tabSelected="1" topLeftCell="A8" zoomScale="64" workbookViewId="0">
      <selection activeCell="Q29" sqref="Q29"/>
    </sheetView>
  </sheetViews>
  <sheetFormatPr defaultRowHeight="14.4"/>
  <cols>
    <col min="1" max="1" width="9" bestFit="1" customWidth="1"/>
    <col min="2" max="2" width="30.77734375" customWidth="1"/>
    <col min="4" max="4" width="9" bestFit="1" customWidth="1"/>
    <col min="5" max="5" width="13.5546875" bestFit="1" customWidth="1"/>
    <col min="6" max="6" width="17.6640625" bestFit="1" customWidth="1"/>
    <col min="7" max="7" width="15.109375" bestFit="1" customWidth="1"/>
    <col min="8" max="8" width="13.77734375" bestFit="1" customWidth="1"/>
    <col min="10" max="10" width="17.44140625" bestFit="1" customWidth="1"/>
    <col min="19" max="19" width="12.44140625" bestFit="1" customWidth="1"/>
  </cols>
  <sheetData>
    <row r="1" spans="1:10" ht="21">
      <c r="A1" s="7"/>
      <c r="B1" s="7"/>
      <c r="C1" s="7"/>
      <c r="D1" s="8"/>
      <c r="E1" s="11" t="s">
        <v>0</v>
      </c>
      <c r="F1" s="11"/>
      <c r="G1" s="11"/>
      <c r="H1" s="11"/>
      <c r="I1" s="11"/>
      <c r="J1" s="11"/>
    </row>
    <row r="2" spans="1:10" ht="15.6">
      <c r="A2" s="9"/>
      <c r="B2" s="9"/>
      <c r="C2" s="9"/>
      <c r="D2" s="10"/>
      <c r="E2" s="12" t="s">
        <v>1</v>
      </c>
      <c r="F2" s="12"/>
      <c r="G2" s="12" t="s">
        <v>2</v>
      </c>
      <c r="H2" s="12"/>
      <c r="I2" s="12" t="s">
        <v>3</v>
      </c>
      <c r="J2" s="12"/>
    </row>
    <row r="3" spans="1:10" ht="84">
      <c r="A3" s="1" t="s">
        <v>4</v>
      </c>
      <c r="B3" s="1" t="s">
        <v>5</v>
      </c>
      <c r="C3" s="1" t="s">
        <v>6</v>
      </c>
      <c r="D3" s="1" t="s">
        <v>7</v>
      </c>
      <c r="E3" s="1" t="s">
        <v>10</v>
      </c>
      <c r="F3" s="1" t="s">
        <v>8</v>
      </c>
      <c r="G3" s="1" t="s">
        <v>10</v>
      </c>
      <c r="H3" s="1" t="s">
        <v>8</v>
      </c>
      <c r="I3" s="1" t="s">
        <v>10</v>
      </c>
      <c r="J3" s="1" t="s">
        <v>8</v>
      </c>
    </row>
    <row r="4" spans="1:10" ht="21">
      <c r="A4" s="18">
        <v>1</v>
      </c>
      <c r="B4" s="17" t="s">
        <v>23</v>
      </c>
      <c r="C4" s="17" t="s">
        <v>15</v>
      </c>
      <c r="D4" s="2">
        <v>2</v>
      </c>
      <c r="E4" s="2">
        <v>1450</v>
      </c>
      <c r="F4" s="2">
        <f>$D4*E4</f>
        <v>2900</v>
      </c>
      <c r="G4" s="2">
        <v>1459</v>
      </c>
      <c r="H4" s="2">
        <f>$D4*G4</f>
        <v>2918</v>
      </c>
      <c r="I4" s="2">
        <v>1475</v>
      </c>
      <c r="J4" s="2">
        <f>$D4*I4</f>
        <v>2950</v>
      </c>
    </row>
    <row r="5" spans="1:10" ht="21">
      <c r="A5" s="18">
        <v>2</v>
      </c>
      <c r="B5" s="17" t="s">
        <v>13</v>
      </c>
      <c r="C5" s="17" t="s">
        <v>14</v>
      </c>
      <c r="D5" s="2">
        <v>5</v>
      </c>
      <c r="E5" s="2">
        <v>550</v>
      </c>
      <c r="F5" s="2">
        <f t="shared" ref="F5:F12" si="0">$D5*E5</f>
        <v>2750</v>
      </c>
      <c r="G5" s="2">
        <v>554</v>
      </c>
      <c r="H5" s="2">
        <f t="shared" ref="H5:H12" si="1">$D5*G5</f>
        <v>2770</v>
      </c>
      <c r="I5" s="2">
        <v>560</v>
      </c>
      <c r="J5" s="2">
        <f t="shared" ref="J5:J12" si="2">$D5*I5</f>
        <v>2800</v>
      </c>
    </row>
    <row r="6" spans="1:10" ht="21">
      <c r="A6" s="18">
        <v>3</v>
      </c>
      <c r="B6" s="17" t="s">
        <v>16</v>
      </c>
      <c r="C6" s="17" t="s">
        <v>15</v>
      </c>
      <c r="D6" s="2">
        <v>2</v>
      </c>
      <c r="E6" s="2">
        <v>792</v>
      </c>
      <c r="F6" s="2">
        <f t="shared" si="0"/>
        <v>1584</v>
      </c>
      <c r="G6" s="2">
        <v>797</v>
      </c>
      <c r="H6" s="2">
        <f t="shared" si="1"/>
        <v>1594</v>
      </c>
      <c r="I6" s="2">
        <v>806</v>
      </c>
      <c r="J6" s="2">
        <f t="shared" si="2"/>
        <v>1612</v>
      </c>
    </row>
    <row r="7" spans="1:10" ht="21">
      <c r="A7" s="18">
        <v>4</v>
      </c>
      <c r="B7" s="17" t="s">
        <v>17</v>
      </c>
      <c r="C7" s="17" t="s">
        <v>14</v>
      </c>
      <c r="D7" s="2">
        <v>5</v>
      </c>
      <c r="E7" s="2">
        <v>1200</v>
      </c>
      <c r="F7" s="2">
        <f t="shared" si="0"/>
        <v>6000</v>
      </c>
      <c r="G7" s="2">
        <v>1208</v>
      </c>
      <c r="H7" s="2">
        <f t="shared" si="1"/>
        <v>6040</v>
      </c>
      <c r="I7" s="2">
        <v>1221</v>
      </c>
      <c r="J7" s="2">
        <f t="shared" si="2"/>
        <v>6105</v>
      </c>
    </row>
    <row r="8" spans="1:10" ht="21">
      <c r="A8" s="18">
        <v>5</v>
      </c>
      <c r="B8" s="17" t="s">
        <v>18</v>
      </c>
      <c r="C8" s="17" t="s">
        <v>14</v>
      </c>
      <c r="D8" s="2">
        <v>2</v>
      </c>
      <c r="E8" s="2">
        <v>790</v>
      </c>
      <c r="F8" s="2">
        <f t="shared" si="0"/>
        <v>1580</v>
      </c>
      <c r="G8" s="2">
        <v>795</v>
      </c>
      <c r="H8" s="2">
        <f t="shared" si="1"/>
        <v>1590</v>
      </c>
      <c r="I8" s="2">
        <v>804</v>
      </c>
      <c r="J8" s="2">
        <f t="shared" si="2"/>
        <v>1608</v>
      </c>
    </row>
    <row r="9" spans="1:10" ht="21">
      <c r="A9" s="18">
        <v>6</v>
      </c>
      <c r="B9" s="17" t="s">
        <v>19</v>
      </c>
      <c r="C9" s="17" t="s">
        <v>20</v>
      </c>
      <c r="D9" s="2">
        <v>30</v>
      </c>
      <c r="E9" s="2">
        <v>180</v>
      </c>
      <c r="F9" s="2">
        <f t="shared" si="0"/>
        <v>5400</v>
      </c>
      <c r="G9" s="2">
        <v>181</v>
      </c>
      <c r="H9" s="2">
        <f t="shared" si="1"/>
        <v>5430</v>
      </c>
      <c r="I9" s="2">
        <v>183</v>
      </c>
      <c r="J9" s="2">
        <f t="shared" si="2"/>
        <v>5490</v>
      </c>
    </row>
    <row r="10" spans="1:10" ht="21">
      <c r="A10" s="18">
        <v>7</v>
      </c>
      <c r="B10" s="17" t="s">
        <v>21</v>
      </c>
      <c r="C10" s="17" t="s">
        <v>14</v>
      </c>
      <c r="D10" s="2">
        <v>5</v>
      </c>
      <c r="E10" s="2">
        <v>225</v>
      </c>
      <c r="F10" s="2">
        <f t="shared" si="0"/>
        <v>1125</v>
      </c>
      <c r="G10" s="2">
        <v>226</v>
      </c>
      <c r="H10" s="2">
        <f t="shared" si="1"/>
        <v>1130</v>
      </c>
      <c r="I10" s="2">
        <v>229</v>
      </c>
      <c r="J10" s="2">
        <f t="shared" si="2"/>
        <v>1145</v>
      </c>
    </row>
    <row r="11" spans="1:10" ht="21">
      <c r="A11" s="18">
        <v>8</v>
      </c>
      <c r="B11" s="17" t="s">
        <v>22</v>
      </c>
      <c r="C11" s="17" t="s">
        <v>14</v>
      </c>
      <c r="D11" s="2">
        <v>2</v>
      </c>
      <c r="E11" s="2">
        <v>17</v>
      </c>
      <c r="F11" s="2">
        <f t="shared" si="0"/>
        <v>34</v>
      </c>
      <c r="G11" s="2">
        <v>17</v>
      </c>
      <c r="H11" s="2">
        <f t="shared" si="1"/>
        <v>34</v>
      </c>
      <c r="I11" s="2">
        <v>17</v>
      </c>
      <c r="J11" s="2">
        <f t="shared" si="2"/>
        <v>34</v>
      </c>
    </row>
    <row r="12" spans="1:10" ht="21">
      <c r="A12" s="18">
        <v>9</v>
      </c>
      <c r="B12" s="17" t="s">
        <v>24</v>
      </c>
      <c r="C12" s="17" t="s">
        <v>14</v>
      </c>
      <c r="D12" s="2">
        <v>5</v>
      </c>
      <c r="E12" s="2">
        <v>35</v>
      </c>
      <c r="F12" s="2">
        <f t="shared" si="0"/>
        <v>175</v>
      </c>
      <c r="G12" s="2">
        <v>35</v>
      </c>
      <c r="H12" s="2">
        <f t="shared" si="1"/>
        <v>175</v>
      </c>
      <c r="I12" s="2">
        <v>36</v>
      </c>
      <c r="J12" s="2">
        <f t="shared" si="2"/>
        <v>180</v>
      </c>
    </row>
    <row r="13" spans="1:10" ht="21">
      <c r="A13" s="18">
        <v>10</v>
      </c>
      <c r="B13" s="17" t="s">
        <v>25</v>
      </c>
      <c r="C13" s="17" t="s">
        <v>14</v>
      </c>
      <c r="D13" s="2">
        <v>2</v>
      </c>
      <c r="E13" s="2">
        <v>2500</v>
      </c>
      <c r="F13" s="2">
        <f t="shared" ref="F13:F29" si="3">$D13*E13</f>
        <v>5000</v>
      </c>
      <c r="G13" s="2">
        <v>2516</v>
      </c>
      <c r="H13" s="2">
        <f t="shared" ref="H13:H29" si="4">$D13*G13</f>
        <v>5032</v>
      </c>
      <c r="I13" s="2">
        <v>2544</v>
      </c>
      <c r="J13" s="2">
        <f t="shared" ref="J13:J29" si="5">$D13*I13</f>
        <v>5088</v>
      </c>
    </row>
    <row r="14" spans="1:10" ht="21">
      <c r="A14" s="18">
        <v>11</v>
      </c>
      <c r="B14" s="17" t="s">
        <v>26</v>
      </c>
      <c r="C14" s="17" t="s">
        <v>14</v>
      </c>
      <c r="D14" s="2">
        <v>7</v>
      </c>
      <c r="E14" s="2">
        <v>750</v>
      </c>
      <c r="F14" s="2">
        <f t="shared" si="3"/>
        <v>5250</v>
      </c>
      <c r="G14" s="2">
        <v>755</v>
      </c>
      <c r="H14" s="2">
        <f t="shared" si="4"/>
        <v>5285</v>
      </c>
      <c r="I14" s="2">
        <v>763</v>
      </c>
      <c r="J14" s="2">
        <f t="shared" si="5"/>
        <v>5341</v>
      </c>
    </row>
    <row r="15" spans="1:10" ht="21">
      <c r="A15" s="18">
        <v>12</v>
      </c>
      <c r="B15" s="17" t="s">
        <v>27</v>
      </c>
      <c r="C15" s="17" t="s">
        <v>14</v>
      </c>
      <c r="D15" s="2">
        <v>2</v>
      </c>
      <c r="E15" s="2">
        <v>2500</v>
      </c>
      <c r="F15" s="2">
        <f t="shared" si="3"/>
        <v>5000</v>
      </c>
      <c r="G15" s="2">
        <v>2516</v>
      </c>
      <c r="H15" s="2">
        <f t="shared" si="4"/>
        <v>5032</v>
      </c>
      <c r="I15" s="2">
        <v>2544</v>
      </c>
      <c r="J15" s="2">
        <f t="shared" si="5"/>
        <v>5088</v>
      </c>
    </row>
    <row r="16" spans="1:10" ht="21">
      <c r="A16" s="18">
        <v>13</v>
      </c>
      <c r="B16" s="17" t="s">
        <v>28</v>
      </c>
      <c r="C16" s="17" t="s">
        <v>15</v>
      </c>
      <c r="D16" s="2">
        <v>1</v>
      </c>
      <c r="E16" s="2">
        <v>1400</v>
      </c>
      <c r="F16" s="2">
        <f t="shared" si="3"/>
        <v>1400</v>
      </c>
      <c r="G16" s="2">
        <v>1409</v>
      </c>
      <c r="H16" s="2">
        <f t="shared" si="4"/>
        <v>1409</v>
      </c>
      <c r="I16" s="2">
        <v>1425</v>
      </c>
      <c r="J16" s="2">
        <f t="shared" si="5"/>
        <v>1425</v>
      </c>
    </row>
    <row r="17" spans="1:10" ht="21">
      <c r="A17" s="18">
        <v>14</v>
      </c>
      <c r="B17" s="17" t="s">
        <v>29</v>
      </c>
      <c r="C17" s="17" t="s">
        <v>15</v>
      </c>
      <c r="D17" s="2">
        <v>1</v>
      </c>
      <c r="E17" s="2">
        <v>4000</v>
      </c>
      <c r="F17" s="2">
        <f t="shared" si="3"/>
        <v>4000</v>
      </c>
      <c r="G17" s="2">
        <v>4026</v>
      </c>
      <c r="H17" s="2">
        <f t="shared" si="4"/>
        <v>4026</v>
      </c>
      <c r="I17" s="2">
        <v>4070</v>
      </c>
      <c r="J17" s="2">
        <f t="shared" si="5"/>
        <v>4070</v>
      </c>
    </row>
    <row r="18" spans="1:10" ht="21">
      <c r="A18" s="18">
        <v>15</v>
      </c>
      <c r="B18" s="17" t="s">
        <v>30</v>
      </c>
      <c r="C18" s="17" t="s">
        <v>31</v>
      </c>
      <c r="D18" s="2">
        <v>2</v>
      </c>
      <c r="E18" s="2">
        <v>6000</v>
      </c>
      <c r="F18" s="2">
        <f t="shared" si="3"/>
        <v>12000</v>
      </c>
      <c r="G18" s="2">
        <v>6039</v>
      </c>
      <c r="H18" s="2">
        <f t="shared" si="4"/>
        <v>12078</v>
      </c>
      <c r="I18" s="2">
        <v>6105</v>
      </c>
      <c r="J18" s="2">
        <f t="shared" si="5"/>
        <v>12210</v>
      </c>
    </row>
    <row r="19" spans="1:10" ht="21">
      <c r="A19" s="18">
        <v>16</v>
      </c>
      <c r="B19" s="17" t="s">
        <v>32</v>
      </c>
      <c r="C19" s="17" t="s">
        <v>15</v>
      </c>
      <c r="D19" s="2">
        <v>2</v>
      </c>
      <c r="E19" s="2">
        <v>1400</v>
      </c>
      <c r="F19" s="2">
        <f t="shared" si="3"/>
        <v>2800</v>
      </c>
      <c r="G19" s="2">
        <v>1409</v>
      </c>
      <c r="H19" s="2">
        <f t="shared" si="4"/>
        <v>2818</v>
      </c>
      <c r="I19" s="2">
        <v>1425</v>
      </c>
      <c r="J19" s="2">
        <f t="shared" si="5"/>
        <v>2850</v>
      </c>
    </row>
    <row r="20" spans="1:10" ht="21">
      <c r="A20" s="18">
        <v>17</v>
      </c>
      <c r="B20" s="17" t="s">
        <v>33</v>
      </c>
      <c r="C20" s="17" t="s">
        <v>20</v>
      </c>
      <c r="D20" s="2">
        <v>20</v>
      </c>
      <c r="E20" s="2">
        <v>130</v>
      </c>
      <c r="F20" s="2">
        <f t="shared" si="3"/>
        <v>2600</v>
      </c>
      <c r="G20" s="2">
        <v>131</v>
      </c>
      <c r="H20" s="2">
        <f t="shared" si="4"/>
        <v>2620</v>
      </c>
      <c r="I20" s="2">
        <v>132</v>
      </c>
      <c r="J20" s="2">
        <f t="shared" si="5"/>
        <v>2640</v>
      </c>
    </row>
    <row r="21" spans="1:10" ht="21">
      <c r="A21" s="18">
        <v>18</v>
      </c>
      <c r="B21" s="17" t="s">
        <v>34</v>
      </c>
      <c r="C21" s="17" t="s">
        <v>35</v>
      </c>
      <c r="D21" s="2">
        <v>1</v>
      </c>
      <c r="E21" s="2">
        <v>2950</v>
      </c>
      <c r="F21" s="2">
        <f t="shared" si="3"/>
        <v>2950</v>
      </c>
      <c r="G21" s="2">
        <v>2969</v>
      </c>
      <c r="H21" s="2">
        <f t="shared" si="4"/>
        <v>2969</v>
      </c>
      <c r="I21" s="2">
        <v>3002</v>
      </c>
      <c r="J21" s="2">
        <f t="shared" si="5"/>
        <v>3002</v>
      </c>
    </row>
    <row r="22" spans="1:10" ht="21">
      <c r="A22" s="18">
        <v>19</v>
      </c>
      <c r="B22" s="17" t="s">
        <v>36</v>
      </c>
      <c r="C22" s="17" t="s">
        <v>35</v>
      </c>
      <c r="D22" s="2">
        <v>1</v>
      </c>
      <c r="E22" s="2">
        <v>14500</v>
      </c>
      <c r="F22" s="2">
        <f t="shared" si="3"/>
        <v>14500</v>
      </c>
      <c r="G22" s="2">
        <v>14594</v>
      </c>
      <c r="H22" s="2">
        <f t="shared" si="4"/>
        <v>14594</v>
      </c>
      <c r="I22" s="2">
        <v>14754</v>
      </c>
      <c r="J22" s="2">
        <f t="shared" si="5"/>
        <v>14754</v>
      </c>
    </row>
    <row r="23" spans="1:10" ht="21">
      <c r="A23" s="18">
        <v>20</v>
      </c>
      <c r="B23" s="17" t="s">
        <v>37</v>
      </c>
      <c r="C23" s="17" t="s">
        <v>35</v>
      </c>
      <c r="D23" s="2">
        <v>1</v>
      </c>
      <c r="E23" s="2">
        <v>7000</v>
      </c>
      <c r="F23" s="2">
        <f t="shared" si="3"/>
        <v>7000</v>
      </c>
      <c r="G23" s="2">
        <v>7046</v>
      </c>
      <c r="H23" s="2">
        <f t="shared" si="4"/>
        <v>7046</v>
      </c>
      <c r="I23" s="2">
        <v>7123</v>
      </c>
      <c r="J23" s="2">
        <f t="shared" si="5"/>
        <v>7123</v>
      </c>
    </row>
    <row r="24" spans="1:10" ht="21">
      <c r="A24" s="18">
        <v>21</v>
      </c>
      <c r="B24" s="17" t="s">
        <v>44</v>
      </c>
      <c r="C24" s="17" t="s">
        <v>15</v>
      </c>
      <c r="D24" s="2">
        <v>6</v>
      </c>
      <c r="E24" s="2">
        <v>95</v>
      </c>
      <c r="F24" s="2">
        <f t="shared" si="3"/>
        <v>570</v>
      </c>
      <c r="G24" s="2">
        <v>96</v>
      </c>
      <c r="H24" s="2">
        <f t="shared" si="4"/>
        <v>576</v>
      </c>
      <c r="I24" s="2">
        <v>97</v>
      </c>
      <c r="J24" s="2">
        <f t="shared" si="5"/>
        <v>582</v>
      </c>
    </row>
    <row r="25" spans="1:10" ht="21">
      <c r="A25" s="18">
        <v>22</v>
      </c>
      <c r="B25" s="17" t="s">
        <v>38</v>
      </c>
      <c r="C25" s="17" t="s">
        <v>15</v>
      </c>
      <c r="D25" s="2">
        <v>1</v>
      </c>
      <c r="E25" s="2">
        <v>375</v>
      </c>
      <c r="F25" s="2">
        <f t="shared" si="3"/>
        <v>375</v>
      </c>
      <c r="G25" s="2">
        <v>377</v>
      </c>
      <c r="H25" s="2">
        <f t="shared" si="4"/>
        <v>377</v>
      </c>
      <c r="I25" s="2">
        <v>382</v>
      </c>
      <c r="J25" s="2">
        <f t="shared" si="5"/>
        <v>382</v>
      </c>
    </row>
    <row r="26" spans="1:10" ht="21">
      <c r="A26" s="18">
        <v>23</v>
      </c>
      <c r="B26" s="17" t="s">
        <v>39</v>
      </c>
      <c r="C26" s="17" t="s">
        <v>40</v>
      </c>
      <c r="D26" s="2">
        <v>10</v>
      </c>
      <c r="E26" s="2">
        <v>350</v>
      </c>
      <c r="F26" s="2">
        <f t="shared" si="3"/>
        <v>3500</v>
      </c>
      <c r="G26" s="2">
        <v>352</v>
      </c>
      <c r="H26" s="2">
        <f t="shared" si="4"/>
        <v>3520</v>
      </c>
      <c r="I26" s="2">
        <v>356</v>
      </c>
      <c r="J26" s="2">
        <f t="shared" si="5"/>
        <v>3560</v>
      </c>
    </row>
    <row r="27" spans="1:10" ht="21">
      <c r="A27" s="18">
        <v>24</v>
      </c>
      <c r="B27" s="17" t="s">
        <v>41</v>
      </c>
      <c r="C27" s="17" t="s">
        <v>15</v>
      </c>
      <c r="D27" s="2">
        <v>2</v>
      </c>
      <c r="E27" s="2">
        <v>225</v>
      </c>
      <c r="F27" s="2">
        <f t="shared" si="3"/>
        <v>450</v>
      </c>
      <c r="G27" s="2">
        <v>226</v>
      </c>
      <c r="H27" s="2">
        <f t="shared" si="4"/>
        <v>452</v>
      </c>
      <c r="I27" s="2">
        <v>229</v>
      </c>
      <c r="J27" s="2">
        <f t="shared" si="5"/>
        <v>458</v>
      </c>
    </row>
    <row r="28" spans="1:10" ht="21">
      <c r="A28" s="18">
        <v>25</v>
      </c>
      <c r="B28" s="17" t="s">
        <v>43</v>
      </c>
      <c r="C28" s="17" t="s">
        <v>35</v>
      </c>
      <c r="D28" s="2">
        <v>1</v>
      </c>
      <c r="E28" s="2">
        <v>275</v>
      </c>
      <c r="F28" s="2">
        <f t="shared" si="3"/>
        <v>275</v>
      </c>
      <c r="G28" s="2">
        <v>282</v>
      </c>
      <c r="H28" s="2">
        <f t="shared" si="4"/>
        <v>282</v>
      </c>
      <c r="I28" s="2">
        <v>285</v>
      </c>
      <c r="J28" s="2">
        <f t="shared" si="5"/>
        <v>285</v>
      </c>
    </row>
    <row r="29" spans="1:10" ht="21">
      <c r="A29" s="18">
        <v>26</v>
      </c>
      <c r="B29" s="17" t="s">
        <v>42</v>
      </c>
      <c r="C29" s="17" t="s">
        <v>15</v>
      </c>
      <c r="D29" s="2">
        <v>4</v>
      </c>
      <c r="E29" s="2">
        <v>225</v>
      </c>
      <c r="F29" s="2">
        <f t="shared" si="3"/>
        <v>900</v>
      </c>
      <c r="G29" s="2">
        <v>231</v>
      </c>
      <c r="H29" s="2">
        <f t="shared" si="4"/>
        <v>924</v>
      </c>
      <c r="I29" s="2">
        <v>233</v>
      </c>
      <c r="J29" s="2">
        <f t="shared" si="5"/>
        <v>932</v>
      </c>
    </row>
    <row r="30" spans="1:10" ht="21">
      <c r="A30" s="14" t="s">
        <v>12</v>
      </c>
      <c r="B30" s="15"/>
      <c r="C30" s="15"/>
      <c r="D30" s="15"/>
      <c r="E30" s="16"/>
      <c r="F30" s="5">
        <f>SUM(F4:F29)</f>
        <v>90118</v>
      </c>
      <c r="G30" s="6"/>
      <c r="H30" s="5">
        <f>SUM(H4:H29)</f>
        <v>90721</v>
      </c>
      <c r="I30" s="6"/>
      <c r="J30" s="5">
        <f>SUM(J4:J29)</f>
        <v>91714</v>
      </c>
    </row>
    <row r="31" spans="1:10" ht="21.6" thickBot="1">
      <c r="A31" s="13" t="s">
        <v>11</v>
      </c>
      <c r="B31" s="13"/>
      <c r="C31" s="13"/>
      <c r="D31" s="13"/>
      <c r="E31" s="13"/>
      <c r="F31" s="3">
        <f>F30*0.13</f>
        <v>11715.34</v>
      </c>
      <c r="G31" s="4"/>
      <c r="H31" s="3">
        <f>H30*0.13</f>
        <v>11793.73</v>
      </c>
      <c r="I31" s="4"/>
      <c r="J31" s="3">
        <f>J30*0.13</f>
        <v>11922.82</v>
      </c>
    </row>
    <row r="32" spans="1:10" ht="22.2" thickTop="1" thickBot="1">
      <c r="A32" s="13" t="s">
        <v>9</v>
      </c>
      <c r="B32" s="13"/>
      <c r="C32" s="13"/>
      <c r="D32" s="13"/>
      <c r="E32" s="13"/>
      <c r="F32" s="3">
        <f>F30+F31</f>
        <v>101833.34</v>
      </c>
      <c r="G32" s="4"/>
      <c r="H32" s="3">
        <f>H30+H31</f>
        <v>102514.73</v>
      </c>
      <c r="I32" s="4"/>
      <c r="J32" s="3">
        <f>J31+J30</f>
        <v>103636.82</v>
      </c>
    </row>
    <row r="33" ht="15" thickTop="1"/>
  </sheetData>
  <mergeCells count="8">
    <mergeCell ref="A32:E32"/>
    <mergeCell ref="A31:E31"/>
    <mergeCell ref="A30:E30"/>
    <mergeCell ref="A1:D2"/>
    <mergeCell ref="E1:J1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 Sah</dc:creator>
  <cp:lastModifiedBy>Dell</cp:lastModifiedBy>
  <dcterms:created xsi:type="dcterms:W3CDTF">2026-05-19T04:46:04Z</dcterms:created>
  <dcterms:modified xsi:type="dcterms:W3CDTF">2026-05-19T06:20:56Z</dcterms:modified>
</cp:coreProperties>
</file>